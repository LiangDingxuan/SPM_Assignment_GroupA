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<sst xmlns="http://schemas.openxmlformats.org/spreadsheetml/2006/main" count="112" uniqueCount="44">
  <si>
    <t>Time</t>
  </si>
  <si>
    <t>Tasks</t>
  </si>
  <si>
    <t>Remaining</t>
  </si>
  <si>
    <t>Dates</t>
  </si>
  <si>
    <t>Completed</t>
  </si>
  <si>
    <t>Story Points</t>
  </si>
  <si>
    <t>Sprint 1</t>
  </si>
  <si>
    <t>Sprint 3</t>
  </si>
  <si>
    <t>27/05/2024</t>
  </si>
  <si>
    <t>28/05/2024</t>
  </si>
  <si>
    <t>29/05/2024</t>
  </si>
  <si>
    <t>25/06/2024</t>
  </si>
  <si>
    <t>30/05/2024</t>
  </si>
  <si>
    <t>26/06/2024</t>
  </si>
  <si>
    <t>31/05/2024</t>
  </si>
  <si>
    <t>27/06/2024</t>
  </si>
  <si>
    <t>28/06/2024</t>
  </si>
  <si>
    <t>29/06/2024</t>
  </si>
  <si>
    <t>30/06/2024</t>
  </si>
  <si>
    <t>13/06/2024</t>
  </si>
  <si>
    <t>14/06/2024</t>
  </si>
  <si>
    <t>15/06/2024</t>
  </si>
  <si>
    <t>Sprint 2</t>
  </si>
  <si>
    <t>Sprint 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</si>
  <si>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</si>
  <si>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</si>
  <si>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</si>
  <si>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</si>
  <si>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</si>
  <si>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</si>
  <si>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</si>
  <si>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13/07/2024</t>
  </si>
  <si>
    <t>23/06/2024</t>
  </si>
  <si>
    <t>14/07/2024</t>
  </si>
  <si>
    <t>24/06/2024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</si>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</sst>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3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3" numFmtId="0" xfId="0" applyBorder="1" applyFont="1"/>
    <xf borderId="0" fillId="0" fontId="3" numFmtId="0" xfId="0" applyAlignment="1" applyFont="1">
      <alignment readingOrder="0"/>
    </xf>
    <xf borderId="1" fillId="0" fontId="3" numFmtId="164" xfId="0" applyAlignment="1" applyBorder="1" applyFont="1" applyNumberFormat="1">
      <alignment horizontal="left" readingOrder="0"/>
    </xf>
    <xf borderId="0" fillId="0" fontId="3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Combined Burn-down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Sheet1!$D$1:$D$2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Sheet1!$A$3:$A$60</c:f>
            </c:strRef>
          </c:cat>
          <c:val>
            <c:numRef>
              <c:f>Sheet1!$D$3:$D$60</c:f>
              <c:numCache/>
            </c:numRef>
          </c:val>
          <c:smooth val="0"/>
        </c:ser>
        <c:ser>
          <c:idx val="1"/>
          <c:order val="1"/>
          <c:tx>
            <c:strRef>
              <c:f>Sheet1!$E$1:$E$2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Sheet1!$A$3:$A$60</c:f>
            </c:strRef>
          </c:cat>
          <c:val>
            <c:numRef>
              <c:f>Sheet1!$E$3:$E$60</c:f>
              <c:numCache/>
            </c:numRef>
          </c:val>
          <c:smooth val="0"/>
        </c:ser>
        <c:axId val="1746140584"/>
        <c:axId val="1621047259"/>
      </c:lineChart>
      <c:catAx>
        <c:axId val="1746140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Time/Dates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047259"/>
      </c:catAx>
      <c:valAx>
        <c:axId val="1621047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140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41</xdr:row>
      <xdr:rowOff>28575</xdr:rowOff>
    </xdr:from>
    <xdr:ext cx="6972300" cy="4305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2" t="s">
        <v>2</v>
      </c>
      <c r="E1" s="3"/>
    </row>
    <row r="2">
      <c r="A2" s="1" t="s">
        <v>3</v>
      </c>
      <c r="B2" s="4" t="s">
        <v>4</v>
      </c>
      <c r="C2" s="4" t="s">
        <v>5</v>
      </c>
      <c r="D2" s="4" t="s">
        <v>1</v>
      </c>
      <c r="E2" s="4" t="s">
        <v>5</v>
      </c>
      <c r="G2" s="5" t="s">
        <v>6</v>
      </c>
      <c r="M2" s="5" t="s">
        <v>7</v>
      </c>
    </row>
    <row r="3">
      <c r="A3" s="4" t="s">
        <v>8</v>
      </c>
      <c r="B3" s="4">
        <v>0.0</v>
      </c>
      <c r="C3" s="6">
        <f>sum(C1:F1)</f>
        <v>0</v>
      </c>
      <c r="D3" s="4">
        <v>78.0</v>
      </c>
      <c r="E3" s="4">
        <v>149.0</v>
      </c>
      <c r="G3" s="1" t="s">
        <v>0</v>
      </c>
      <c r="H3" s="2" t="s">
        <v>1</v>
      </c>
      <c r="I3" s="3"/>
      <c r="J3" s="2" t="s">
        <v>2</v>
      </c>
      <c r="K3" s="3"/>
      <c r="M3" s="1" t="s">
        <v>0</v>
      </c>
      <c r="N3" s="2" t="s">
        <v>1</v>
      </c>
      <c r="O3" s="3"/>
      <c r="P3" s="2" t="s">
        <v>2</v>
      </c>
      <c r="Q3" s="3"/>
    </row>
    <row r="4">
      <c r="A4" s="4" t="s">
        <v>9</v>
      </c>
      <c r="B4" s="4">
        <v>0.0</v>
      </c>
      <c r="C4" s="4">
        <v>0.0</v>
      </c>
      <c r="D4" s="6">
        <f t="shared" ref="D4:E4" si="1">minus(D3,B4)</f>
        <v>78</v>
      </c>
      <c r="E4" s="6">
        <f t="shared" si="1"/>
        <v>149</v>
      </c>
      <c r="G4" s="1" t="s">
        <v>3</v>
      </c>
      <c r="H4" s="4" t="s">
        <v>4</v>
      </c>
      <c r="I4" s="4" t="s">
        <v>5</v>
      </c>
      <c r="J4" s="4" t="s">
        <v>1</v>
      </c>
      <c r="K4" s="4" t="s">
        <v>5</v>
      </c>
      <c r="M4" s="1" t="s">
        <v>3</v>
      </c>
      <c r="N4" s="4" t="s">
        <v>4</v>
      </c>
      <c r="O4" s="4" t="s">
        <v>5</v>
      </c>
      <c r="P4" s="4" t="s">
        <v>1</v>
      </c>
      <c r="Q4" s="4" t="s">
        <v>5</v>
      </c>
    </row>
    <row r="5">
      <c r="A5" s="4" t="s">
        <v>10</v>
      </c>
      <c r="B5" s="4">
        <v>0.0</v>
      </c>
      <c r="C5" s="4">
        <v>0.0</v>
      </c>
      <c r="D5" s="6">
        <f t="shared" ref="D5:E5" si="2">minus(D4,B5)</f>
        <v>78</v>
      </c>
      <c r="E5" s="6">
        <f t="shared" si="2"/>
        <v>149</v>
      </c>
      <c r="G5" s="4" t="s">
        <v>8</v>
      </c>
      <c r="H5" s="4">
        <v>0.0</v>
      </c>
      <c r="I5" s="6">
        <f>sum(I3:L3)</f>
        <v>0</v>
      </c>
      <c r="J5" s="4">
        <v>78.0</v>
      </c>
      <c r="K5" s="7">
        <v>149.0</v>
      </c>
      <c r="M5" s="4" t="s">
        <v>11</v>
      </c>
      <c r="N5" s="4">
        <v>1.0</v>
      </c>
      <c r="O5" s="6"/>
      <c r="P5" s="4">
        <v>56.0</v>
      </c>
      <c r="Q5" s="6">
        <f>minus(K39,O5)</f>
        <v>121.5</v>
      </c>
    </row>
    <row r="6">
      <c r="A6" s="4" t="s">
        <v>12</v>
      </c>
      <c r="B6" s="4">
        <v>0.0</v>
      </c>
      <c r="C6" s="4">
        <v>0.0</v>
      </c>
      <c r="D6" s="6">
        <f t="shared" ref="D6:E6" si="3">minus(D5,B6)</f>
        <v>78</v>
      </c>
      <c r="E6" s="6">
        <f t="shared" si="3"/>
        <v>149</v>
      </c>
      <c r="G6" s="4" t="s">
        <v>9</v>
      </c>
      <c r="H6" s="4">
        <v>0.0</v>
      </c>
      <c r="I6" s="4">
        <v>0.0</v>
      </c>
      <c r="J6" s="6">
        <f t="shared" ref="J6:K6" si="4">minus(J5,H6)</f>
        <v>78</v>
      </c>
      <c r="K6" s="6">
        <f t="shared" si="4"/>
        <v>149</v>
      </c>
      <c r="M6" s="4" t="s">
        <v>13</v>
      </c>
      <c r="N6" s="6"/>
      <c r="O6" s="6"/>
      <c r="P6" s="6">
        <f t="shared" ref="P6:Q6" si="5">minus(P5,N6)</f>
        <v>56</v>
      </c>
      <c r="Q6" s="6">
        <f t="shared" si="5"/>
        <v>121.5</v>
      </c>
    </row>
    <row r="7">
      <c r="A7" s="4" t="s">
        <v>14</v>
      </c>
      <c r="B7" s="4">
        <v>0.0</v>
      </c>
      <c r="C7" s="4">
        <v>0.0</v>
      </c>
      <c r="D7" s="6">
        <f t="shared" ref="D7:E7" si="6">minus(D6,B7)</f>
        <v>78</v>
      </c>
      <c r="E7" s="6">
        <f t="shared" si="6"/>
        <v>149</v>
      </c>
      <c r="G7" s="4" t="s">
        <v>10</v>
      </c>
      <c r="H7" s="4">
        <v>0.0</v>
      </c>
      <c r="I7" s="4">
        <v>0.0</v>
      </c>
      <c r="J7" s="6">
        <f t="shared" ref="J7:K7" si="7">minus(J6,H7)</f>
        <v>78</v>
      </c>
      <c r="K7" s="6">
        <f t="shared" si="7"/>
        <v>149</v>
      </c>
      <c r="M7" s="4" t="s">
        <v>15</v>
      </c>
      <c r="N7" s="6"/>
      <c r="O7" s="6"/>
      <c r="P7" s="6">
        <f t="shared" ref="P7:Q7" si="8">minus(P6,N7)</f>
        <v>56</v>
      </c>
      <c r="Q7" s="6">
        <f t="shared" si="8"/>
        <v>121.5</v>
      </c>
    </row>
    <row r="8">
      <c r="A8" s="8">
        <v>45297.0</v>
      </c>
      <c r="B8" s="4">
        <v>0.0</v>
      </c>
      <c r="C8" s="4">
        <v>0.0</v>
      </c>
      <c r="D8" s="6">
        <f t="shared" ref="D8:E8" si="9">minus(D7,B8)</f>
        <v>78</v>
      </c>
      <c r="E8" s="6">
        <f t="shared" si="9"/>
        <v>149</v>
      </c>
      <c r="G8" s="4" t="s">
        <v>12</v>
      </c>
      <c r="H8" s="4">
        <v>0.0</v>
      </c>
      <c r="I8" s="4">
        <v>0.0</v>
      </c>
      <c r="J8" s="6">
        <f t="shared" ref="J8:K8" si="10">minus(J7,H8)</f>
        <v>78</v>
      </c>
      <c r="K8" s="6">
        <f t="shared" si="10"/>
        <v>149</v>
      </c>
      <c r="M8" s="4" t="s">
        <v>16</v>
      </c>
      <c r="N8" s="6"/>
      <c r="O8" s="6"/>
      <c r="P8" s="6">
        <f t="shared" ref="P8:Q8" si="11">minus(P7,N8)</f>
        <v>56</v>
      </c>
      <c r="Q8" s="6">
        <f t="shared" si="11"/>
        <v>121.5</v>
      </c>
    </row>
    <row r="9">
      <c r="A9" s="8">
        <v>45328.0</v>
      </c>
      <c r="B9" s="4">
        <v>6.0</v>
      </c>
      <c r="C9" s="4">
        <v>7.0</v>
      </c>
      <c r="D9" s="6">
        <f t="shared" ref="D9:E9" si="12">minus(D8,B9)</f>
        <v>72</v>
      </c>
      <c r="E9" s="6">
        <f t="shared" si="12"/>
        <v>142</v>
      </c>
      <c r="G9" s="4" t="s">
        <v>14</v>
      </c>
      <c r="H9" s="4">
        <v>0.0</v>
      </c>
      <c r="I9" s="4">
        <v>0.0</v>
      </c>
      <c r="J9" s="6">
        <f t="shared" ref="J9:K9" si="13">minus(J8,H9)</f>
        <v>78</v>
      </c>
      <c r="K9" s="6">
        <f t="shared" si="13"/>
        <v>149</v>
      </c>
      <c r="M9" s="4" t="s">
        <v>17</v>
      </c>
      <c r="N9" s="6"/>
      <c r="O9" s="6"/>
      <c r="P9" s="6">
        <f t="shared" ref="P9:Q9" si="14">minus(P8,N9)</f>
        <v>56</v>
      </c>
      <c r="Q9" s="6">
        <f t="shared" si="14"/>
        <v>121.5</v>
      </c>
    </row>
    <row r="10">
      <c r="A10" s="8">
        <v>45357.0</v>
      </c>
      <c r="B10" s="4">
        <v>0.0</v>
      </c>
      <c r="C10" s="4">
        <v>0.0</v>
      </c>
      <c r="D10" s="6">
        <f t="shared" ref="D10:E10" si="15">minus(D9,B10)</f>
        <v>72</v>
      </c>
      <c r="E10" s="6">
        <f t="shared" si="15"/>
        <v>142</v>
      </c>
      <c r="G10" s="8">
        <v>45297.0</v>
      </c>
      <c r="H10" s="4">
        <v>0.0</v>
      </c>
      <c r="I10" s="4">
        <v>0.0</v>
      </c>
      <c r="J10" s="6">
        <f t="shared" ref="J10:K10" si="16">minus(J9,H10)</f>
        <v>78</v>
      </c>
      <c r="K10" s="6">
        <f t="shared" si="16"/>
        <v>149</v>
      </c>
      <c r="M10" s="4" t="s">
        <v>18</v>
      </c>
      <c r="N10" s="6"/>
      <c r="O10" s="6"/>
      <c r="P10" s="6">
        <f t="shared" ref="P10:Q10" si="17">minus(P9,N10)</f>
        <v>56</v>
      </c>
      <c r="Q10" s="6">
        <f t="shared" si="17"/>
        <v>121.5</v>
      </c>
    </row>
    <row r="11">
      <c r="A11" s="8">
        <v>45388.0</v>
      </c>
      <c r="B11" s="4">
        <v>0.0</v>
      </c>
      <c r="C11" s="4">
        <v>0.0</v>
      </c>
      <c r="D11" s="6">
        <f t="shared" ref="D11:E11" si="18">minus(D10,B11)</f>
        <v>72</v>
      </c>
      <c r="E11" s="6">
        <f t="shared" si="18"/>
        <v>142</v>
      </c>
      <c r="G11" s="8">
        <v>45328.0</v>
      </c>
      <c r="H11" s="4">
        <v>6.0</v>
      </c>
      <c r="I11" s="4">
        <v>7.0</v>
      </c>
      <c r="J11" s="6">
        <f t="shared" ref="J11:K11" si="19">minus(J10,H11)</f>
        <v>72</v>
      </c>
      <c r="K11" s="6">
        <f t="shared" si="19"/>
        <v>142</v>
      </c>
      <c r="M11" s="8">
        <v>45298.0</v>
      </c>
      <c r="N11" s="4">
        <v>7.0</v>
      </c>
      <c r="O11" s="4">
        <v>21.0</v>
      </c>
      <c r="P11" s="6">
        <f t="shared" ref="P11:Q11" si="20">minus(P10,N11)</f>
        <v>49</v>
      </c>
      <c r="Q11" s="6">
        <f t="shared" si="20"/>
        <v>100.5</v>
      </c>
    </row>
    <row r="12">
      <c r="A12" s="8">
        <v>45418.0</v>
      </c>
      <c r="B12" s="4">
        <v>0.0</v>
      </c>
      <c r="C12" s="4">
        <v>0.0</v>
      </c>
      <c r="D12" s="6">
        <f t="shared" ref="D12:E12" si="21">minus(D11,B12)</f>
        <v>72</v>
      </c>
      <c r="E12" s="6">
        <f t="shared" si="21"/>
        <v>142</v>
      </c>
      <c r="G12" s="8">
        <v>45357.0</v>
      </c>
      <c r="H12" s="4">
        <v>0.0</v>
      </c>
      <c r="I12" s="4">
        <v>0.0</v>
      </c>
      <c r="J12" s="6">
        <f t="shared" ref="J12:K12" si="22">minus(J11,H12)</f>
        <v>72</v>
      </c>
      <c r="K12" s="6">
        <f t="shared" si="22"/>
        <v>142</v>
      </c>
      <c r="M12" s="8">
        <v>45329.0</v>
      </c>
      <c r="N12" s="4">
        <v>2.0</v>
      </c>
      <c r="O12" s="4">
        <v>3.5</v>
      </c>
      <c r="P12" s="6">
        <f t="shared" ref="P12:Q12" si="23">minus(P11,N12)</f>
        <v>47</v>
      </c>
      <c r="Q12" s="6">
        <f t="shared" si="23"/>
        <v>97</v>
      </c>
    </row>
    <row r="13">
      <c r="A13" s="8">
        <v>45449.0</v>
      </c>
      <c r="B13" s="4">
        <v>0.0</v>
      </c>
      <c r="C13" s="4">
        <v>0.0</v>
      </c>
      <c r="D13" s="6">
        <f t="shared" ref="D13:E13" si="24">minus(D12,B13)</f>
        <v>72</v>
      </c>
      <c r="E13" s="6">
        <f t="shared" si="24"/>
        <v>142</v>
      </c>
      <c r="G13" s="8">
        <v>45388.0</v>
      </c>
      <c r="H13" s="4">
        <v>0.0</v>
      </c>
      <c r="I13" s="4">
        <v>0.0</v>
      </c>
      <c r="J13" s="6">
        <f t="shared" ref="J13:K13" si="25">minus(J12,H13)</f>
        <v>72</v>
      </c>
      <c r="K13" s="6">
        <f t="shared" si="25"/>
        <v>142</v>
      </c>
      <c r="M13" s="8">
        <v>45358.0</v>
      </c>
      <c r="N13" s="4">
        <v>3.0</v>
      </c>
      <c r="O13" s="4">
        <v>9.0</v>
      </c>
      <c r="P13" s="6">
        <f t="shared" ref="P13:Q13" si="26">minus(P12,N13)</f>
        <v>44</v>
      </c>
      <c r="Q13" s="6">
        <f t="shared" si="26"/>
        <v>88</v>
      </c>
    </row>
    <row r="14">
      <c r="A14" s="8">
        <v>45479.0</v>
      </c>
      <c r="B14" s="4">
        <v>0.0</v>
      </c>
      <c r="C14" s="4">
        <v>0.0</v>
      </c>
      <c r="D14" s="6">
        <f t="shared" ref="D14:E14" si="27">minus(D13,B14)</f>
        <v>72</v>
      </c>
      <c r="E14" s="6">
        <f t="shared" si="27"/>
        <v>142</v>
      </c>
      <c r="G14" s="8">
        <v>45418.0</v>
      </c>
      <c r="H14" s="4">
        <v>0.0</v>
      </c>
      <c r="I14" s="4">
        <v>0.0</v>
      </c>
      <c r="J14" s="6">
        <f t="shared" ref="J14:K14" si="28">minus(J13,H14)</f>
        <v>72</v>
      </c>
      <c r="K14" s="6">
        <f t="shared" si="28"/>
        <v>142</v>
      </c>
      <c r="M14" s="8">
        <v>45389.0</v>
      </c>
      <c r="N14" s="4">
        <v>4.0</v>
      </c>
      <c r="O14" s="4">
        <v>10.0</v>
      </c>
      <c r="P14" s="6">
        <f t="shared" ref="P14:Q14" si="29">minus(P13,N14)</f>
        <v>40</v>
      </c>
      <c r="Q14" s="6">
        <f t="shared" si="29"/>
        <v>78</v>
      </c>
    </row>
    <row r="15">
      <c r="A15" s="8">
        <v>45510.0</v>
      </c>
      <c r="B15" s="4">
        <v>0.0</v>
      </c>
      <c r="C15" s="4">
        <v>0.0</v>
      </c>
      <c r="D15" s="6">
        <f t="shared" ref="D15:E15" si="30">minus(D14,B15)</f>
        <v>72</v>
      </c>
      <c r="E15" s="6">
        <f t="shared" si="30"/>
        <v>142</v>
      </c>
      <c r="G15" s="8">
        <v>45449.0</v>
      </c>
      <c r="H15" s="4">
        <v>0.0</v>
      </c>
      <c r="I15" s="4">
        <v>0.0</v>
      </c>
      <c r="J15" s="6">
        <f t="shared" ref="J15:K15" si="31">minus(J14,H15)</f>
        <v>72</v>
      </c>
      <c r="K15" s="6">
        <f t="shared" si="31"/>
        <v>142</v>
      </c>
      <c r="M15" s="8">
        <v>45419.0</v>
      </c>
      <c r="N15" s="4">
        <v>3.0</v>
      </c>
      <c r="O15" s="4">
        <v>4.0</v>
      </c>
      <c r="P15" s="6">
        <f t="shared" ref="P15:Q15" si="32">minus(P14,N15)</f>
        <v>37</v>
      </c>
      <c r="Q15" s="6">
        <f t="shared" si="32"/>
        <v>74</v>
      </c>
    </row>
    <row r="16">
      <c r="A16" s="8">
        <v>45541.0</v>
      </c>
      <c r="B16" s="4">
        <v>0.0</v>
      </c>
      <c r="C16" s="4">
        <v>0.0</v>
      </c>
      <c r="D16" s="6">
        <f t="shared" ref="D16:E16" si="33">minus(D15,B16)</f>
        <v>72</v>
      </c>
      <c r="E16" s="6">
        <f t="shared" si="33"/>
        <v>142</v>
      </c>
      <c r="G16" s="8">
        <v>45479.0</v>
      </c>
      <c r="H16" s="4">
        <v>0.0</v>
      </c>
      <c r="I16" s="4">
        <v>0.0</v>
      </c>
      <c r="J16" s="6">
        <f t="shared" ref="J16:K16" si="34">minus(J15,H16)</f>
        <v>72</v>
      </c>
      <c r="K16" s="6">
        <f t="shared" si="34"/>
        <v>142</v>
      </c>
      <c r="M16" s="8">
        <v>45450.0</v>
      </c>
      <c r="N16" s="6"/>
      <c r="O16" s="6"/>
      <c r="P16" s="6">
        <f t="shared" ref="P16:Q16" si="35">minus(P15,N16)</f>
        <v>37</v>
      </c>
      <c r="Q16" s="6">
        <f t="shared" si="35"/>
        <v>74</v>
      </c>
    </row>
    <row r="17">
      <c r="A17" s="8">
        <v>45571.0</v>
      </c>
      <c r="B17" s="4">
        <v>8.0</v>
      </c>
      <c r="C17" s="4">
        <v>12.0</v>
      </c>
      <c r="D17" s="6">
        <f t="shared" ref="D17:E17" si="36">minus(D16,B17)</f>
        <v>64</v>
      </c>
      <c r="E17" s="6">
        <f t="shared" si="36"/>
        <v>130</v>
      </c>
      <c r="G17" s="8">
        <v>45510.0</v>
      </c>
      <c r="H17" s="4">
        <v>0.0</v>
      </c>
      <c r="I17" s="4">
        <v>0.0</v>
      </c>
      <c r="J17" s="6">
        <f t="shared" ref="J17:K17" si="37">minus(J16,H17)</f>
        <v>72</v>
      </c>
      <c r="K17" s="6">
        <f t="shared" si="37"/>
        <v>142</v>
      </c>
      <c r="M17" s="8">
        <v>45480.0</v>
      </c>
      <c r="N17" s="6"/>
      <c r="O17" s="6"/>
      <c r="P17" s="6">
        <f t="shared" ref="P17:Q17" si="38">minus(P16,N17)</f>
        <v>37</v>
      </c>
      <c r="Q17" s="6">
        <f t="shared" si="38"/>
        <v>74</v>
      </c>
    </row>
    <row r="18">
      <c r="A18" s="8">
        <v>45602.0</v>
      </c>
      <c r="B18" s="4">
        <v>0.0</v>
      </c>
      <c r="C18" s="4">
        <v>0.0</v>
      </c>
      <c r="D18" s="6">
        <f t="shared" ref="D18:E18" si="39">minus(D17,B18)</f>
        <v>64</v>
      </c>
      <c r="E18" s="6">
        <f t="shared" si="39"/>
        <v>130</v>
      </c>
      <c r="G18" s="8">
        <v>45541.0</v>
      </c>
      <c r="H18" s="4">
        <v>0.0</v>
      </c>
      <c r="I18" s="4">
        <v>0.0</v>
      </c>
      <c r="J18" s="6">
        <f t="shared" ref="J18:K18" si="40">minus(J17,H18)</f>
        <v>72</v>
      </c>
      <c r="K18" s="6">
        <f t="shared" si="40"/>
        <v>142</v>
      </c>
      <c r="M18" s="8">
        <v>45511.0</v>
      </c>
      <c r="N18" s="6"/>
      <c r="O18" s="6"/>
      <c r="P18" s="6">
        <f t="shared" ref="P18:Q18" si="41">minus(P17,N18)</f>
        <v>37</v>
      </c>
      <c r="Q18" s="6">
        <f t="shared" si="41"/>
        <v>74</v>
      </c>
    </row>
    <row r="19">
      <c r="A19" s="8">
        <v>45632.0</v>
      </c>
      <c r="B19" s="4">
        <v>1.0</v>
      </c>
      <c r="C19" s="4">
        <v>1.0</v>
      </c>
      <c r="D19" s="6">
        <f t="shared" ref="D19:E19" si="42">minus(D18,B19)</f>
        <v>63</v>
      </c>
      <c r="E19" s="6">
        <f t="shared" si="42"/>
        <v>129</v>
      </c>
      <c r="G19" s="8">
        <v>45571.0</v>
      </c>
      <c r="H19" s="4">
        <v>8.0</v>
      </c>
      <c r="I19" s="4">
        <v>12.0</v>
      </c>
      <c r="J19" s="6">
        <f t="shared" ref="J19:K19" si="43">minus(J18,H19)</f>
        <v>64</v>
      </c>
      <c r="K19" s="6">
        <f t="shared" si="43"/>
        <v>130</v>
      </c>
      <c r="M19" s="8">
        <v>45542.0</v>
      </c>
      <c r="N19" s="4">
        <v>2.0</v>
      </c>
      <c r="O19" s="4">
        <v>3.0</v>
      </c>
      <c r="P19" s="6">
        <f t="shared" ref="P19:Q19" si="44">minus(P18,N19)</f>
        <v>35</v>
      </c>
      <c r="Q19" s="6">
        <f t="shared" si="44"/>
        <v>71</v>
      </c>
    </row>
    <row r="20">
      <c r="A20" s="4" t="s">
        <v>19</v>
      </c>
      <c r="B20" s="4">
        <v>0.0</v>
      </c>
      <c r="C20" s="4">
        <v>0.0</v>
      </c>
      <c r="D20" s="6">
        <f t="shared" ref="D20:E20" si="45">minus(D19,B20)</f>
        <v>63</v>
      </c>
      <c r="E20" s="6">
        <f t="shared" si="45"/>
        <v>129</v>
      </c>
      <c r="G20" s="9"/>
    </row>
    <row r="21">
      <c r="A21" s="4" t="s">
        <v>20</v>
      </c>
      <c r="B21" s="4">
        <v>0.0</v>
      </c>
      <c r="C21" s="4">
        <v>0.0</v>
      </c>
      <c r="D21" s="6">
        <f t="shared" ref="D21:E21" si="46">minus(D20,B21)</f>
        <v>63</v>
      </c>
      <c r="E21" s="6">
        <f t="shared" si="46"/>
        <v>129</v>
      </c>
      <c r="G21" s="9"/>
    </row>
    <row r="22">
      <c r="A22" s="4" t="s">
        <v>21</v>
      </c>
      <c r="B22" s="4">
        <v>0.0</v>
      </c>
      <c r="C22" s="4">
        <v>0.0</v>
      </c>
      <c r="D22" s="6">
        <f t="shared" ref="D22:E22" si="47">minus(D21,B22)</f>
        <v>63</v>
      </c>
      <c r="E22" s="6">
        <f t="shared" si="47"/>
        <v>129</v>
      </c>
      <c r="G22" s="5" t="s">
        <v>22</v>
      </c>
      <c r="M22" s="5" t="s">
        <v>23</v>
      </c>
    </row>
    <row r="23">
      <c r="A23" s="4" t="s">
        <v>24</v>
      </c>
      <c r="B23" s="4">
        <v>7.0</v>
      </c>
      <c r="C23" s="4">
        <v>7.5</v>
      </c>
      <c r="D23" s="6">
        <f t="shared" ref="D23:E23" si="48">minus(D22,B23)</f>
        <v>56</v>
      </c>
      <c r="E23" s="6">
        <f t="shared" si="48"/>
        <v>121.5</v>
      </c>
      <c r="G23" s="1" t="s">
        <v>0</v>
      </c>
      <c r="H23" s="2" t="s">
        <v>1</v>
      </c>
      <c r="I23" s="3"/>
      <c r="J23" s="2" t="s">
        <v>2</v>
      </c>
      <c r="K23" s="3"/>
      <c r="M23" s="1" t="s">
        <v>0</v>
      </c>
      <c r="N23" s="2" t="s">
        <v>1</v>
      </c>
      <c r="O23" s="3"/>
      <c r="P23" s="2" t="s">
        <v>2</v>
      </c>
      <c r="Q23" s="3"/>
    </row>
    <row r="24">
      <c r="A24" s="4" t="s">
        <v>25</v>
      </c>
      <c r="B24" s="4">
        <v>0.0</v>
      </c>
      <c r="C24" s="4">
        <v>0.0</v>
      </c>
      <c r="D24" s="6">
        <f t="shared" ref="D24:E24" si="49">minus(D23,B24)</f>
        <v>56</v>
      </c>
      <c r="E24" s="6">
        <f t="shared" si="49"/>
        <v>121.5</v>
      </c>
      <c r="G24" s="1" t="s">
        <v>3</v>
      </c>
      <c r="H24" s="4" t="s">
        <v>4</v>
      </c>
      <c r="I24" s="4" t="s">
        <v>5</v>
      </c>
      <c r="J24" s="4" t="s">
        <v>1</v>
      </c>
      <c r="K24" s="4" t="s">
        <v>5</v>
      </c>
      <c r="M24" s="1" t="s">
        <v>3</v>
      </c>
      <c r="N24" s="4" t="s">
        <v>4</v>
      </c>
      <c r="O24" s="4" t="s">
        <v>5</v>
      </c>
      <c r="P24" s="4" t="s">
        <v>1</v>
      </c>
      <c r="Q24" s="4" t="s">
        <v>5</v>
      </c>
    </row>
    <row r="25">
      <c r="A25" s="4" t="s">
        <v>26</v>
      </c>
      <c r="B25" s="4">
        <v>0.0</v>
      </c>
      <c r="C25" s="4">
        <v>0.0</v>
      </c>
      <c r="D25" s="6">
        <f t="shared" ref="D25:E25" si="50">minus(D24,B25)</f>
        <v>56</v>
      </c>
      <c r="E25" s="6">
        <f t="shared" si="50"/>
        <v>121.5</v>
      </c>
      <c r="G25" s="8">
        <v>45571.0</v>
      </c>
      <c r="H25" s="4">
        <v>8.0</v>
      </c>
      <c r="I25" s="4">
        <v>12.0</v>
      </c>
      <c r="J25" s="4">
        <v>64.0</v>
      </c>
      <c r="K25" s="4">
        <v>130.0</v>
      </c>
      <c r="M25" s="8">
        <v>45542.0</v>
      </c>
      <c r="N25" s="4">
        <v>2.0</v>
      </c>
      <c r="O25" s="4">
        <v>3.0</v>
      </c>
      <c r="P25" s="4">
        <v>34.0</v>
      </c>
      <c r="Q25" s="4">
        <v>71.0</v>
      </c>
    </row>
    <row r="26">
      <c r="A26" s="4" t="s">
        <v>27</v>
      </c>
      <c r="B26" s="4">
        <v>0.0</v>
      </c>
      <c r="C26" s="4">
        <v>0.0</v>
      </c>
      <c r="D26" s="6">
        <f t="shared" ref="D26:E26" si="51">minus(D25,B26)</f>
        <v>56</v>
      </c>
      <c r="E26" s="6">
        <f t="shared" si="51"/>
        <v>121.5</v>
      </c>
      <c r="G26" s="8">
        <v>45602.0</v>
      </c>
      <c r="H26" s="6"/>
      <c r="I26" s="4"/>
      <c r="J26" s="6">
        <f t="shared" ref="J26:K26" si="52">minus(J25,H26)</f>
        <v>64</v>
      </c>
      <c r="K26" s="6">
        <f t="shared" si="52"/>
        <v>130</v>
      </c>
      <c r="M26" s="8">
        <v>45572.0</v>
      </c>
      <c r="N26" s="4">
        <v>2.0</v>
      </c>
      <c r="O26" s="4">
        <v>7.0</v>
      </c>
      <c r="P26" s="6">
        <f t="shared" ref="P26:Q26" si="53">minus(P25,N26)</f>
        <v>32</v>
      </c>
      <c r="Q26" s="6">
        <f t="shared" si="53"/>
        <v>64</v>
      </c>
    </row>
    <row r="27">
      <c r="A27" s="4" t="s">
        <v>28</v>
      </c>
      <c r="B27" s="4">
        <v>0.0</v>
      </c>
      <c r="C27" s="4">
        <v>0.0</v>
      </c>
      <c r="D27" s="6">
        <f t="shared" ref="D27:E27" si="54">minus(D26,B27)</f>
        <v>56</v>
      </c>
      <c r="E27" s="6">
        <f t="shared" si="54"/>
        <v>121.5</v>
      </c>
      <c r="G27" s="8">
        <v>45632.0</v>
      </c>
      <c r="H27" s="4">
        <v>1.0</v>
      </c>
      <c r="I27" s="4">
        <v>1.0</v>
      </c>
      <c r="J27" s="6">
        <f t="shared" ref="J27:K27" si="55">minus(J26,H27)</f>
        <v>63</v>
      </c>
      <c r="K27" s="6">
        <f t="shared" si="55"/>
        <v>129</v>
      </c>
      <c r="M27" s="8">
        <v>45603.0</v>
      </c>
      <c r="N27" s="6"/>
      <c r="O27" s="6"/>
      <c r="P27" s="6">
        <f t="shared" ref="P27:Q27" si="56">minus(P26,N27)</f>
        <v>32</v>
      </c>
      <c r="Q27" s="6">
        <f t="shared" si="56"/>
        <v>64</v>
      </c>
    </row>
    <row r="28">
      <c r="A28" s="4" t="s">
        <v>29</v>
      </c>
      <c r="B28" s="4">
        <v>0.0</v>
      </c>
      <c r="C28" s="4">
        <v>0.0</v>
      </c>
      <c r="D28" s="6">
        <f t="shared" ref="D28:E28" si="57">minus(D27,B28)</f>
        <v>56</v>
      </c>
      <c r="E28" s="6">
        <f t="shared" si="57"/>
        <v>121.5</v>
      </c>
      <c r="G28" s="4" t="s">
        <v>19</v>
      </c>
      <c r="H28" s="4"/>
      <c r="I28" s="6"/>
      <c r="J28" s="6">
        <f t="shared" ref="J28:K28" si="58">minus(J27,H28)</f>
        <v>63</v>
      </c>
      <c r="K28" s="6">
        <f t="shared" si="58"/>
        <v>129</v>
      </c>
      <c r="M28" s="8">
        <v>45633.0</v>
      </c>
      <c r="N28" s="4">
        <v>8.0</v>
      </c>
      <c r="O28" s="4">
        <v>20.0</v>
      </c>
      <c r="P28" s="6">
        <f t="shared" ref="P28:Q28" si="59">minus(P27,N28)</f>
        <v>24</v>
      </c>
      <c r="Q28" s="6">
        <f t="shared" si="59"/>
        <v>44</v>
      </c>
    </row>
    <row r="29">
      <c r="A29" s="4" t="s">
        <v>30</v>
      </c>
      <c r="B29" s="4">
        <v>0.0</v>
      </c>
      <c r="C29" s="4">
        <v>0.0</v>
      </c>
      <c r="D29" s="6">
        <f t="shared" ref="D29:E29" si="60">minus(D28,B29)</f>
        <v>56</v>
      </c>
      <c r="E29" s="6">
        <f t="shared" si="60"/>
        <v>121.5</v>
      </c>
      <c r="G29" s="4" t="s">
        <v>20</v>
      </c>
      <c r="H29" s="6"/>
      <c r="I29" s="6"/>
      <c r="J29" s="6">
        <f t="shared" ref="J29:K29" si="61">minus(J28,H29)</f>
        <v>63</v>
      </c>
      <c r="K29" s="6">
        <f t="shared" si="61"/>
        <v>129</v>
      </c>
      <c r="M29" s="4" t="s">
        <v>31</v>
      </c>
      <c r="N29" s="4"/>
      <c r="O29" s="4"/>
      <c r="P29" s="6">
        <f t="shared" ref="P29:Q29" si="62">minus(P28,N29)</f>
        <v>24</v>
      </c>
      <c r="Q29" s="6">
        <f t="shared" si="62"/>
        <v>44</v>
      </c>
    </row>
    <row r="30">
      <c r="A30" s="4" t="s">
        <v>32</v>
      </c>
      <c r="B30" s="4">
        <v>0.0</v>
      </c>
      <c r="C30" s="4">
        <v>0.0</v>
      </c>
      <c r="D30" s="6">
        <f t="shared" ref="D30:E30" si="63">minus(D29,B30)</f>
        <v>56</v>
      </c>
      <c r="E30" s="6">
        <f t="shared" si="63"/>
        <v>121.5</v>
      </c>
      <c r="G30" s="4" t="s">
        <v>21</v>
      </c>
      <c r="H30" s="6"/>
      <c r="I30" s="6"/>
      <c r="J30" s="6">
        <f t="shared" ref="J30:K30" si="64">minus(J29,H30)</f>
        <v>63</v>
      </c>
      <c r="K30" s="6">
        <f t="shared" si="64"/>
        <v>129</v>
      </c>
      <c r="M30" s="4" t="s">
        <v>33</v>
      </c>
      <c r="N30" s="4">
        <v>2.0</v>
      </c>
      <c r="O30" s="4">
        <v>6.0</v>
      </c>
      <c r="P30" s="6">
        <f t="shared" ref="P30:Q30" si="65">minus(P29,N30)</f>
        <v>22</v>
      </c>
      <c r="Q30" s="6">
        <f t="shared" si="65"/>
        <v>38</v>
      </c>
    </row>
    <row r="31">
      <c r="A31" s="4" t="s">
        <v>34</v>
      </c>
      <c r="B31" s="4">
        <v>0.0</v>
      </c>
      <c r="C31" s="4">
        <v>0.0</v>
      </c>
      <c r="D31" s="6">
        <f t="shared" ref="D31:E31" si="66">minus(D30,B31)</f>
        <v>56</v>
      </c>
      <c r="E31" s="6">
        <f t="shared" si="66"/>
        <v>121.5</v>
      </c>
      <c r="G31" s="4" t="s">
        <v>24</v>
      </c>
      <c r="H31" s="4">
        <v>7.0</v>
      </c>
      <c r="I31" s="4">
        <v>7.5</v>
      </c>
      <c r="J31" s="6">
        <f t="shared" ref="J31:K31" si="67">minus(J30,H31)</f>
        <v>56</v>
      </c>
      <c r="K31" s="6">
        <f t="shared" si="67"/>
        <v>121.5</v>
      </c>
      <c r="M31" s="4" t="s">
        <v>35</v>
      </c>
      <c r="N31" s="6"/>
      <c r="O31" s="6"/>
      <c r="P31" s="6">
        <f t="shared" ref="P31:Q31" si="68">minus(P30,N31)</f>
        <v>22</v>
      </c>
      <c r="Q31" s="6">
        <f t="shared" si="68"/>
        <v>38</v>
      </c>
    </row>
    <row r="32">
      <c r="A32" s="4" t="s">
        <v>11</v>
      </c>
      <c r="B32" s="4">
        <v>1.0</v>
      </c>
      <c r="C32" s="4">
        <v>0.0</v>
      </c>
      <c r="D32" s="6">
        <f t="shared" ref="D32:E32" si="69">minus(D31,B32)</f>
        <v>55</v>
      </c>
      <c r="E32" s="6">
        <f t="shared" si="69"/>
        <v>121.5</v>
      </c>
      <c r="G32" s="4" t="s">
        <v>25</v>
      </c>
      <c r="H32" s="6"/>
      <c r="I32" s="6"/>
      <c r="J32" s="6">
        <f t="shared" ref="J32:K32" si="70">minus(J31,H32)</f>
        <v>56</v>
      </c>
      <c r="K32" s="6">
        <f t="shared" si="70"/>
        <v>121.5</v>
      </c>
      <c r="M32" s="4" t="s">
        <v>36</v>
      </c>
      <c r="N32" s="4">
        <v>4.0</v>
      </c>
      <c r="O32" s="4">
        <v>10.0</v>
      </c>
      <c r="P32" s="6">
        <f t="shared" ref="P32:Q32" si="71">minus(P31,N32)</f>
        <v>18</v>
      </c>
      <c r="Q32" s="6">
        <f t="shared" si="71"/>
        <v>28</v>
      </c>
    </row>
    <row r="33">
      <c r="A33" s="4" t="s">
        <v>13</v>
      </c>
      <c r="B33" s="4">
        <v>0.0</v>
      </c>
      <c r="C33" s="4">
        <v>0.0</v>
      </c>
      <c r="D33" s="6">
        <f t="shared" ref="D33:E33" si="72">minus(D32,B33)</f>
        <v>55</v>
      </c>
      <c r="E33" s="6">
        <f t="shared" si="72"/>
        <v>121.5</v>
      </c>
      <c r="G33" s="4" t="s">
        <v>26</v>
      </c>
      <c r="H33" s="6"/>
      <c r="I33" s="6"/>
      <c r="J33" s="6">
        <f t="shared" ref="J33:K33" si="73">minus(J32,H33)</f>
        <v>56</v>
      </c>
      <c r="K33" s="6">
        <f t="shared" si="73"/>
        <v>121.5</v>
      </c>
      <c r="M33" s="4" t="s">
        <v>37</v>
      </c>
      <c r="N33" s="4">
        <v>2.0</v>
      </c>
      <c r="O33" s="4">
        <v>1.5</v>
      </c>
      <c r="P33" s="6">
        <f t="shared" ref="P33:Q33" si="74">minus(P32,N33)</f>
        <v>16</v>
      </c>
      <c r="Q33" s="6">
        <f t="shared" si="74"/>
        <v>26.5</v>
      </c>
    </row>
    <row r="34">
      <c r="A34" s="4" t="s">
        <v>15</v>
      </c>
      <c r="B34" s="4">
        <v>0.0</v>
      </c>
      <c r="C34" s="4">
        <v>0.0</v>
      </c>
      <c r="D34" s="6">
        <f t="shared" ref="D34:E34" si="75">minus(D33,B34)</f>
        <v>55</v>
      </c>
      <c r="E34" s="6">
        <f t="shared" si="75"/>
        <v>121.5</v>
      </c>
      <c r="G34" s="4" t="s">
        <v>27</v>
      </c>
      <c r="H34" s="6"/>
      <c r="I34" s="6"/>
      <c r="J34" s="6">
        <f t="shared" ref="J34:K34" si="76">minus(J33,H34)</f>
        <v>56</v>
      </c>
      <c r="K34" s="6">
        <f t="shared" si="76"/>
        <v>121.5</v>
      </c>
      <c r="M34" s="4" t="s">
        <v>38</v>
      </c>
      <c r="N34" s="4">
        <v>1.0</v>
      </c>
      <c r="O34" s="4">
        <v>0.5</v>
      </c>
      <c r="P34" s="6">
        <f t="shared" ref="P34:Q34" si="77">minus(P33,N34)</f>
        <v>15</v>
      </c>
      <c r="Q34" s="6">
        <f t="shared" si="77"/>
        <v>26</v>
      </c>
    </row>
    <row r="35">
      <c r="A35" s="4" t="s">
        <v>16</v>
      </c>
      <c r="B35" s="4">
        <v>0.0</v>
      </c>
      <c r="C35" s="4">
        <v>0.0</v>
      </c>
      <c r="D35" s="6">
        <f t="shared" ref="D35:E35" si="78">minus(D34,B35)</f>
        <v>55</v>
      </c>
      <c r="E35" s="6">
        <f t="shared" si="78"/>
        <v>121.5</v>
      </c>
      <c r="G35" s="4" t="s">
        <v>28</v>
      </c>
      <c r="H35" s="6"/>
      <c r="I35" s="6"/>
      <c r="J35" s="6">
        <f t="shared" ref="J35:K35" si="79">minus(J34,H35)</f>
        <v>56</v>
      </c>
      <c r="K35" s="6">
        <f t="shared" si="79"/>
        <v>121.5</v>
      </c>
      <c r="M35" s="4" t="s">
        <v>39</v>
      </c>
      <c r="N35" s="4">
        <v>5.0</v>
      </c>
      <c r="O35" s="4">
        <v>8.0</v>
      </c>
      <c r="P35" s="6">
        <f t="shared" ref="P35:Q35" si="80">minus(P34,N35)</f>
        <v>10</v>
      </c>
      <c r="Q35" s="6">
        <f t="shared" si="80"/>
        <v>18</v>
      </c>
    </row>
    <row r="36">
      <c r="A36" s="4" t="s">
        <v>17</v>
      </c>
      <c r="B36" s="4">
        <v>0.0</v>
      </c>
      <c r="C36" s="4">
        <v>0.0</v>
      </c>
      <c r="D36" s="6">
        <f t="shared" ref="D36:E36" si="81">minus(D35,B36)</f>
        <v>55</v>
      </c>
      <c r="E36" s="6">
        <f t="shared" si="81"/>
        <v>121.5</v>
      </c>
      <c r="G36" s="4" t="s">
        <v>29</v>
      </c>
      <c r="H36" s="6"/>
      <c r="I36" s="6"/>
      <c r="J36" s="6">
        <f t="shared" ref="J36:K36" si="82">minus(J35,H36)</f>
        <v>56</v>
      </c>
      <c r="K36" s="6">
        <f t="shared" si="82"/>
        <v>121.5</v>
      </c>
      <c r="M36" s="4" t="s">
        <v>40</v>
      </c>
      <c r="N36" s="6"/>
      <c r="O36" s="6"/>
      <c r="P36" s="6">
        <f t="shared" ref="P36:Q36" si="83">minus(P35,N36)</f>
        <v>10</v>
      </c>
      <c r="Q36" s="6">
        <f t="shared" si="83"/>
        <v>18</v>
      </c>
    </row>
    <row r="37">
      <c r="A37" s="4" t="s">
        <v>18</v>
      </c>
      <c r="B37" s="4">
        <v>0.0</v>
      </c>
      <c r="C37" s="4">
        <v>0.0</v>
      </c>
      <c r="D37" s="6">
        <f t="shared" ref="D37:E37" si="84">minus(D36,B37)</f>
        <v>55</v>
      </c>
      <c r="E37" s="6">
        <f t="shared" si="84"/>
        <v>121.5</v>
      </c>
      <c r="G37" s="4" t="s">
        <v>30</v>
      </c>
      <c r="H37" s="6"/>
      <c r="I37" s="6"/>
      <c r="J37" s="6">
        <f t="shared" ref="J37:K37" si="85">minus(J36,H37)</f>
        <v>56</v>
      </c>
      <c r="K37" s="6">
        <f t="shared" si="85"/>
        <v>121.5</v>
      </c>
      <c r="M37" s="4" t="s">
        <v>41</v>
      </c>
      <c r="N37" s="4">
        <v>3.0</v>
      </c>
      <c r="O37" s="4">
        <v>3.0</v>
      </c>
      <c r="P37" s="6">
        <f t="shared" ref="P37:Q37" si="86">minus(P36,N37)</f>
        <v>7</v>
      </c>
      <c r="Q37" s="6">
        <f t="shared" si="86"/>
        <v>15</v>
      </c>
    </row>
    <row r="38">
      <c r="A38" s="8">
        <v>45298.0</v>
      </c>
      <c r="B38" s="4">
        <v>7.0</v>
      </c>
      <c r="C38" s="4">
        <v>21.0</v>
      </c>
      <c r="D38" s="6">
        <f t="shared" ref="D38:E38" si="87">minus(D37,B38)</f>
        <v>48</v>
      </c>
      <c r="E38" s="6">
        <f t="shared" si="87"/>
        <v>100.5</v>
      </c>
      <c r="G38" s="4" t="s">
        <v>32</v>
      </c>
      <c r="H38" s="6"/>
      <c r="I38" s="6"/>
      <c r="J38" s="6">
        <f t="shared" ref="J38:K38" si="88">minus(J37,H38)</f>
        <v>56</v>
      </c>
      <c r="K38" s="6">
        <f t="shared" si="88"/>
        <v>121.5</v>
      </c>
      <c r="M38" s="4" t="s">
        <v>42</v>
      </c>
      <c r="N38" s="4">
        <v>4.0</v>
      </c>
      <c r="O38" s="4">
        <v>9.0</v>
      </c>
      <c r="P38" s="6">
        <f t="shared" ref="P38:Q38" si="89">minus(P37,N38)</f>
        <v>3</v>
      </c>
      <c r="Q38" s="6">
        <f t="shared" si="89"/>
        <v>6</v>
      </c>
    </row>
    <row r="39">
      <c r="A39" s="8">
        <v>45329.0</v>
      </c>
      <c r="B39" s="4">
        <v>2.0</v>
      </c>
      <c r="C39" s="4">
        <v>3.5</v>
      </c>
      <c r="D39" s="6">
        <f t="shared" ref="D39:E39" si="90">minus(D38,B39)</f>
        <v>46</v>
      </c>
      <c r="E39" s="6">
        <f t="shared" si="90"/>
        <v>97</v>
      </c>
      <c r="G39" s="4" t="s">
        <v>34</v>
      </c>
      <c r="H39" s="6"/>
      <c r="I39" s="6"/>
      <c r="J39" s="6">
        <f t="shared" ref="J39:K39" si="91">minus(J38,H39)</f>
        <v>56</v>
      </c>
      <c r="K39" s="6">
        <f t="shared" si="91"/>
        <v>121.5</v>
      </c>
      <c r="M39" s="4" t="s">
        <v>43</v>
      </c>
      <c r="N39" s="4">
        <v>3.0</v>
      </c>
      <c r="O39" s="4">
        <v>6.0</v>
      </c>
      <c r="P39" s="6">
        <f t="shared" ref="P39:Q39" si="92">minus(P38,N39)</f>
        <v>0</v>
      </c>
      <c r="Q39" s="6">
        <f t="shared" si="92"/>
        <v>0</v>
      </c>
    </row>
    <row r="40">
      <c r="A40" s="8">
        <v>45358.0</v>
      </c>
      <c r="B40" s="4">
        <v>3.0</v>
      </c>
      <c r="C40" s="4">
        <v>9.0</v>
      </c>
      <c r="D40" s="6">
        <f t="shared" ref="D40:E40" si="93">minus(D39,B40)</f>
        <v>43</v>
      </c>
      <c r="E40" s="6">
        <f t="shared" si="93"/>
        <v>88</v>
      </c>
    </row>
    <row r="41">
      <c r="A41" s="8">
        <v>45389.0</v>
      </c>
      <c r="B41" s="4">
        <v>4.0</v>
      </c>
      <c r="C41" s="4">
        <v>10.0</v>
      </c>
      <c r="D41" s="6">
        <f t="shared" ref="D41:E41" si="94">minus(D40,B41)</f>
        <v>39</v>
      </c>
      <c r="E41" s="6">
        <f t="shared" si="94"/>
        <v>78</v>
      </c>
    </row>
    <row r="42">
      <c r="A42" s="8">
        <v>45419.0</v>
      </c>
      <c r="B42" s="4">
        <v>3.0</v>
      </c>
      <c r="C42" s="4">
        <v>4.0</v>
      </c>
      <c r="D42" s="6">
        <f t="shared" ref="D42:E42" si="95">minus(D41,B42)</f>
        <v>36</v>
      </c>
      <c r="E42" s="6">
        <f t="shared" si="95"/>
        <v>74</v>
      </c>
    </row>
    <row r="43">
      <c r="A43" s="8">
        <v>45450.0</v>
      </c>
      <c r="B43" s="4">
        <v>0.0</v>
      </c>
      <c r="C43" s="4">
        <v>0.0</v>
      </c>
      <c r="D43" s="6">
        <f t="shared" ref="D43:E43" si="96">minus(D42,B43)</f>
        <v>36</v>
      </c>
      <c r="E43" s="6">
        <f t="shared" si="96"/>
        <v>74</v>
      </c>
    </row>
    <row r="44">
      <c r="A44" s="8">
        <v>45480.0</v>
      </c>
      <c r="B44" s="4">
        <v>0.0</v>
      </c>
      <c r="C44" s="4">
        <v>0.0</v>
      </c>
      <c r="D44" s="6">
        <f t="shared" ref="D44:E44" si="97">minus(D43,B44)</f>
        <v>36</v>
      </c>
      <c r="E44" s="6">
        <f t="shared" si="97"/>
        <v>74</v>
      </c>
    </row>
    <row r="45">
      <c r="A45" s="8">
        <v>45511.0</v>
      </c>
      <c r="B45" s="4">
        <v>0.0</v>
      </c>
      <c r="C45" s="4">
        <v>0.0</v>
      </c>
      <c r="D45" s="6">
        <f t="shared" ref="D45:E45" si="98">minus(D44,B45)</f>
        <v>36</v>
      </c>
      <c r="E45" s="6">
        <f t="shared" si="98"/>
        <v>74</v>
      </c>
    </row>
    <row r="46">
      <c r="A46" s="8">
        <v>45542.0</v>
      </c>
      <c r="B46" s="4">
        <v>2.0</v>
      </c>
      <c r="C46" s="4">
        <v>3.0</v>
      </c>
      <c r="D46" s="6">
        <f t="shared" ref="D46:E46" si="99">minus(D45,B46)</f>
        <v>34</v>
      </c>
      <c r="E46" s="6">
        <f t="shared" si="99"/>
        <v>71</v>
      </c>
    </row>
    <row r="47">
      <c r="A47" s="8">
        <v>45572.0</v>
      </c>
      <c r="B47" s="4">
        <v>2.0</v>
      </c>
      <c r="C47" s="4">
        <v>7.0</v>
      </c>
      <c r="D47" s="6">
        <f t="shared" ref="D47:E47" si="100">minus(D46,B47)</f>
        <v>32</v>
      </c>
      <c r="E47" s="6">
        <f t="shared" si="100"/>
        <v>64</v>
      </c>
    </row>
    <row r="48">
      <c r="A48" s="8">
        <v>45603.0</v>
      </c>
      <c r="B48" s="4">
        <v>0.0</v>
      </c>
      <c r="C48" s="4">
        <v>0.0</v>
      </c>
      <c r="D48" s="6">
        <f t="shared" ref="D48:E48" si="101">minus(D47,B48)</f>
        <v>32</v>
      </c>
      <c r="E48" s="6">
        <f t="shared" si="101"/>
        <v>64</v>
      </c>
    </row>
    <row r="49">
      <c r="A49" s="8">
        <v>45633.0</v>
      </c>
      <c r="B49" s="4">
        <v>8.0</v>
      </c>
      <c r="C49" s="4">
        <v>20.0</v>
      </c>
      <c r="D49" s="6">
        <f t="shared" ref="D49:E49" si="102">minus(D48,B49)</f>
        <v>24</v>
      </c>
      <c r="E49" s="6">
        <f t="shared" si="102"/>
        <v>44</v>
      </c>
    </row>
    <row r="50">
      <c r="A50" s="4" t="s">
        <v>31</v>
      </c>
      <c r="B50" s="4">
        <v>0.0</v>
      </c>
      <c r="C50" s="4">
        <v>0.0</v>
      </c>
      <c r="D50" s="6">
        <f t="shared" ref="D50:E50" si="103">minus(D49,B50)</f>
        <v>24</v>
      </c>
      <c r="E50" s="6">
        <f t="shared" si="103"/>
        <v>44</v>
      </c>
    </row>
    <row r="51">
      <c r="A51" s="4" t="s">
        <v>33</v>
      </c>
      <c r="B51" s="4">
        <v>2.0</v>
      </c>
      <c r="C51" s="4">
        <v>6.0</v>
      </c>
      <c r="D51" s="6">
        <f t="shared" ref="D51:E51" si="104">minus(D50,B51)</f>
        <v>22</v>
      </c>
      <c r="E51" s="6">
        <f t="shared" si="104"/>
        <v>38</v>
      </c>
    </row>
    <row r="52">
      <c r="A52" s="4" t="s">
        <v>35</v>
      </c>
      <c r="B52" s="4">
        <v>0.0</v>
      </c>
      <c r="C52" s="4">
        <v>0.0</v>
      </c>
      <c r="D52" s="6">
        <f t="shared" ref="D52:E52" si="105">minus(D51,B52)</f>
        <v>22</v>
      </c>
      <c r="E52" s="6">
        <f t="shared" si="105"/>
        <v>38</v>
      </c>
    </row>
    <row r="53">
      <c r="A53" s="4" t="s">
        <v>36</v>
      </c>
      <c r="B53" s="4">
        <v>4.0</v>
      </c>
      <c r="C53" s="4">
        <v>10.0</v>
      </c>
      <c r="D53" s="6">
        <f t="shared" ref="D53:E53" si="106">minus(D52,B53)</f>
        <v>18</v>
      </c>
      <c r="E53" s="6">
        <f t="shared" si="106"/>
        <v>28</v>
      </c>
    </row>
    <row r="54">
      <c r="A54" s="4" t="s">
        <v>37</v>
      </c>
      <c r="B54" s="4">
        <v>2.0</v>
      </c>
      <c r="C54" s="4">
        <v>1.5</v>
      </c>
      <c r="D54" s="6">
        <f t="shared" ref="D54:E54" si="107">minus(D53,B54)</f>
        <v>16</v>
      </c>
      <c r="E54" s="6">
        <f t="shared" si="107"/>
        <v>26.5</v>
      </c>
    </row>
    <row r="55">
      <c r="A55" s="4" t="s">
        <v>38</v>
      </c>
      <c r="B55" s="4">
        <v>1.0</v>
      </c>
      <c r="C55" s="4">
        <v>0.5</v>
      </c>
      <c r="D55" s="6">
        <f t="shared" ref="D55:E55" si="108">minus(D54,B55)</f>
        <v>15</v>
      </c>
      <c r="E55" s="6">
        <f t="shared" si="108"/>
        <v>26</v>
      </c>
    </row>
    <row r="56">
      <c r="A56" s="4" t="s">
        <v>39</v>
      </c>
      <c r="B56" s="4">
        <v>5.0</v>
      </c>
      <c r="C56" s="4">
        <v>8.0</v>
      </c>
      <c r="D56" s="6">
        <f t="shared" ref="D56:E56" si="109">minus(D55,B56)</f>
        <v>10</v>
      </c>
      <c r="E56" s="6">
        <f t="shared" si="109"/>
        <v>18</v>
      </c>
    </row>
    <row r="57">
      <c r="A57" s="4" t="s">
        <v>40</v>
      </c>
      <c r="B57" s="4">
        <v>0.0</v>
      </c>
      <c r="C57" s="4">
        <v>0.0</v>
      </c>
      <c r="D57" s="6">
        <f t="shared" ref="D57:E57" si="110">minus(D56,B57)</f>
        <v>10</v>
      </c>
      <c r="E57" s="6">
        <f t="shared" si="110"/>
        <v>18</v>
      </c>
    </row>
    <row r="58">
      <c r="A58" s="4" t="s">
        <v>41</v>
      </c>
      <c r="B58" s="4">
        <v>3.0</v>
      </c>
      <c r="C58" s="4">
        <v>3.0</v>
      </c>
      <c r="D58" s="6">
        <f t="shared" ref="D58:E58" si="111">minus(D57,B58)</f>
        <v>7</v>
      </c>
      <c r="E58" s="6">
        <f t="shared" si="111"/>
        <v>15</v>
      </c>
    </row>
    <row r="59">
      <c r="A59" s="4" t="s">
        <v>42</v>
      </c>
      <c r="B59" s="4">
        <v>4.0</v>
      </c>
      <c r="C59" s="4">
        <v>9.0</v>
      </c>
      <c r="D59" s="6">
        <f t="shared" ref="D59:E59" si="112">minus(D58,B59)</f>
        <v>3</v>
      </c>
      <c r="E59" s="6">
        <f t="shared" si="112"/>
        <v>6</v>
      </c>
    </row>
    <row r="60">
      <c r="A60" s="4" t="s">
        <v>43</v>
      </c>
      <c r="B60" s="4">
        <v>3.0</v>
      </c>
      <c r="C60" s="4">
        <v>6.0</v>
      </c>
      <c r="D60" s="6">
        <f t="shared" ref="D60:E60" si="113">minus(D59,B60)</f>
        <v>0</v>
      </c>
      <c r="E60" s="6">
        <f t="shared" si="113"/>
        <v>0</v>
      </c>
    </row>
  </sheetData>
  <mergeCells count="10">
    <mergeCell ref="J23:K23"/>
    <mergeCell ref="N23:O23"/>
    <mergeCell ref="B1:C1"/>
    <mergeCell ref="D1:E1"/>
    <mergeCell ref="H3:I3"/>
    <mergeCell ref="J3:K3"/>
    <mergeCell ref="N3:O3"/>
    <mergeCell ref="P3:Q3"/>
    <mergeCell ref="H23:I23"/>
    <mergeCell ref="P23:Q23"/>
  </mergeCells>
  <drawing r:id="rId1"/>
</worksheet>
</file>